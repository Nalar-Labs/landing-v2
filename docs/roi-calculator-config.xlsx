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lobal" sheetId="2" state="visible" r:id="rId2"/>
    <sheet name="RateTiers" sheetId="3" state="visible" r:id="rId3"/>
    <sheet name="Hosting" sheetId="4" state="visible" r:id="rId4"/>
    <sheet name="Maintenance" sheetId="5" state="visible" r:id="rId5"/>
    <sheet name="Catalog" sheetId="6" state="visible" r:id="rId6"/>
    <sheet name="Cal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$#,##0;($#,##0);-"/>
    <numFmt numFmtId="166" formatCode="0.0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  <font>
      <name val="Arial"/>
      <color rgb="00C00000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007A33"/>
      <sz val="10"/>
    </font>
    <font>
      <name val="Arial"/>
      <color rgb="001E1E1E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2E5"/>
      </patternFill>
    </fill>
    <fill>
      <patternFill patternType="solid">
        <fgColor rgb="001E1E1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3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3" fontId="4" fillId="2" borderId="1" pivotButton="0" quotePrefix="0" xfId="0"/>
    <xf numFmtId="0" fontId="2" fillId="0" borderId="1" pivotButton="0" quotePrefix="0" xfId="0"/>
    <xf numFmtId="164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3" fontId="3" fillId="0" borderId="1" pivotButton="0" quotePrefix="0" xfId="0"/>
    <xf numFmtId="3" fontId="6" fillId="0" borderId="1" pivotButton="0" quotePrefix="0" xfId="0"/>
    <xf numFmtId="165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2" fontId="4" fillId="2" borderId="1" pivotButton="0" quotePrefix="0" xfId="0"/>
    <xf numFmtId="2" fontId="5" fillId="0" borderId="1" pivotButton="0" quotePrefix="0" xfId="0"/>
    <xf numFmtId="2" fontId="3" fillId="0" borderId="1" pivotButton="0" quotePrefix="0" xfId="0"/>
    <xf numFmtId="3" fontId="5" fillId="0" borderId="1" pivotButton="0" quotePrefix="0" xfId="0"/>
    <xf numFmtId="165" fontId="6" fillId="0" borderId="1" pivotButton="0" quotePrefix="0" xfId="0"/>
    <xf numFmtId="166" fontId="3" fillId="0" borderId="1" pivotButton="0" quotePrefix="0" xfId="0"/>
    <xf numFmtId="0" fontId="9" fillId="0" borderId="1" pivotButton="0" quotePrefix="0" xfId="0"/>
    <xf numFmtId="167" fontId="3" fillId="3" borderId="1" pivotButton="0" quotePrefix="0" xfId="0"/>
    <xf numFmtId="0" fontId="10" fillId="0" borderId="1" pivotButton="0" quotePrefix="0" xfId="0"/>
    <xf numFmtId="166" fontId="3" fillId="3" borderId="1" pivotButton="0" quotePrefix="0" xfId="0"/>
    <xf numFmtId="165" fontId="3" fillId="3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  <col width="30" customWidth="1" min="4" max="4"/>
  </cols>
  <sheetData>
    <row r="2">
      <c r="A2" s="1" t="inlineStr">
        <is>
          <t>Nalar ROI Calculator — configuration</t>
        </is>
      </c>
    </row>
    <row r="3">
      <c r="A3" s="2" t="inlineStr">
        <is>
          <t>Every number the calculator uses lives in this workbook. Edit here, then port to src/app/data/.</t>
        </is>
      </c>
    </row>
    <row r="5">
      <c r="B5" s="3" t="inlineStr">
        <is>
          <t>LEGEND</t>
        </is>
      </c>
    </row>
    <row r="6">
      <c r="B6" s="4" t="inlineStr">
        <is>
          <t>Yellow fill + blue text</t>
        </is>
      </c>
      <c r="C6" s="5" t="inlineStr">
        <is>
          <t>You edit these. They are the model's inputs.</t>
        </is>
      </c>
    </row>
    <row r="7">
      <c r="B7" s="5" t="inlineStr">
        <is>
          <t>Black text</t>
        </is>
      </c>
      <c r="C7" s="5" t="inlineStr">
        <is>
          <t>Formula — do not overwrite, it will recalculate.</t>
        </is>
      </c>
    </row>
    <row r="8">
      <c r="B8" s="6" t="inlineStr">
        <is>
          <t>Green text</t>
        </is>
      </c>
      <c r="C8" s="5" t="inlineStr">
        <is>
          <t>Pulled from another tab in this workbook.</t>
        </is>
      </c>
    </row>
    <row r="9">
      <c r="B9" s="7" t="inlineStr">
        <is>
          <t>Peach fill</t>
        </is>
      </c>
      <c r="C9" s="5" t="inlineStr">
        <is>
          <t>Headline output — what the website would show.</t>
        </is>
      </c>
    </row>
    <row r="11">
      <c r="B11" s="3" t="inlineStr">
        <is>
          <t>TABS</t>
        </is>
      </c>
    </row>
    <row r="12">
      <c r="B12" s="8" t="inlineStr">
        <is>
          <t>Global</t>
        </is>
      </c>
      <c r="C12" s="5" t="inlineStr">
        <is>
          <t>Horizon, agency benchmark, working-hours assumptions.</t>
        </is>
      </c>
    </row>
    <row r="13">
      <c r="B13" s="8" t="inlineStr">
        <is>
          <t>RateTiers</t>
        </is>
      </c>
      <c r="C13" s="5" t="inlineStr">
        <is>
          <t>Your Low / Medium / High rates, and which user counts map to each.</t>
        </is>
      </c>
    </row>
    <row r="14">
      <c r="B14" s="8" t="inlineStr">
        <is>
          <t>Hosting</t>
        </is>
      </c>
      <c r="C14" s="5" t="inlineStr">
        <is>
          <t>Estimated AWS cost per month, banded by user count.</t>
        </is>
      </c>
    </row>
    <row r="15">
      <c r="B15" s="8" t="inlineStr">
        <is>
          <t>Maintenance</t>
        </is>
      </c>
      <c r="C15" s="5" t="inlineStr">
        <is>
          <t>Monthly maintenance retainer per tier.</t>
        </is>
      </c>
    </row>
    <row r="16">
      <c r="B16" s="8" t="inlineStr">
        <is>
          <t>Catalog</t>
        </is>
      </c>
      <c r="C16" s="5" t="inlineStr">
        <is>
          <t>The apps a visitor can pick, with complexity weights. Set Selected = 1 to model.</t>
        </is>
      </c>
    </row>
    <row r="17">
      <c r="B17" s="8" t="inlineStr">
        <is>
          <t>Calc</t>
        </is>
      </c>
      <c r="C17" s="5" t="inlineStr">
        <is>
          <t>The live model. One combined project, exactly as agreed.</t>
        </is>
      </c>
    </row>
    <row r="19">
      <c r="B19" s="3" t="inlineStr">
        <is>
          <t>WHERE THE NUMBERS CAME FROM</t>
        </is>
      </c>
    </row>
    <row r="20">
      <c r="B20" s="9" t="inlineStr">
        <is>
          <t>• Rate tiers, consulting rate, agency benchmark: your Financial Plan 2026 sheet (Hourly Rate References / Baselines / Benchmark).</t>
        </is>
      </c>
    </row>
    <row r="21">
      <c r="B21" s="9" t="inlineStr">
        <is>
          <t>• Hosting bands and maintenance hours: ESTIMATES by Claude — no source. These are the least defensible numbers here; tune before launch.</t>
        </is>
      </c>
    </row>
    <row r="22">
      <c r="B22" s="9" t="inlineStr">
        <is>
          <t>• Complexity weights: all default to 1.00, i.e. neutral. Raise a weight to make that app take longer.</t>
        </is>
      </c>
    </row>
    <row r="24">
      <c r="B24" s="3" t="inlineStr">
        <is>
          <t>AGREED DECISIONS</t>
        </is>
      </c>
    </row>
    <row r="25">
      <c r="B25" s="10" t="inlineStr">
        <is>
          <t>• SETTLED: public panel shows savings + % of agency. Raw project cost is INTERNAL ONLY (PRD 1 §6).</t>
        </is>
      </c>
    </row>
    <row r="26">
      <c r="B26" s="10" t="inlineStr">
        <is>
          <t>• SETTLED: no email gate — the result shows immediately.</t>
        </is>
      </c>
    </row>
    <row r="27">
      <c r="B27" s="10" t="inlineStr">
        <is>
          <t>• SETTLED: mixed picks = ONE combined project, but ROI/payback show ONLY on internal-only projects.</t>
        </is>
      </c>
    </row>
  </sheetData>
  <mergeCells count="6">
    <mergeCell ref="B22:D22"/>
    <mergeCell ref="B26:D26"/>
    <mergeCell ref="B27:D27"/>
    <mergeCell ref="B21:D21"/>
    <mergeCell ref="B25:D25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46" customWidth="1" min="4" max="4"/>
  </cols>
  <sheetData>
    <row r="2">
      <c r="A2" s="1" t="inlineStr">
        <is>
          <t>Global assumptions</t>
        </is>
      </c>
    </row>
    <row r="4">
      <c r="B4" s="11" t="inlineStr">
        <is>
          <t>Assumption</t>
        </is>
      </c>
      <c r="C4" s="11" t="inlineStr">
        <is>
          <t>Value</t>
        </is>
      </c>
      <c r="D4" s="11" t="inlineStr">
        <is>
          <t>Note</t>
        </is>
      </c>
    </row>
    <row r="5">
      <c r="B5" s="5" t="inlineStr">
        <is>
          <t>ROI horizon (months)</t>
        </is>
      </c>
      <c r="C5" s="12" t="n">
        <v>36</v>
      </c>
      <c r="D5" s="13" t="inlineStr">
        <is>
          <t>Window for ROI %. 36 = 3-year TCO, the usual software standard.</t>
        </is>
      </c>
    </row>
    <row r="6">
      <c r="B6" s="5" t="inlineStr">
        <is>
          <t>Agency benchmark ($/month)</t>
        </is>
      </c>
      <c r="C6" s="14" t="n">
        <v>11666.67</v>
      </c>
      <c r="D6" s="13" t="inlineStr">
        <is>
          <t>Your sheet: $35,000 per 3 months.</t>
        </is>
      </c>
    </row>
    <row r="7">
      <c r="B7" s="5" t="inlineStr">
        <is>
          <t>Consulting rate ($/hour)</t>
        </is>
      </c>
      <c r="C7" s="15" t="n">
        <v>35</v>
      </c>
      <c r="D7" s="13" t="inlineStr">
        <is>
          <t>Your sheet: discovery / training / maintenance, avg of $20-50.</t>
        </is>
      </c>
    </row>
    <row r="8">
      <c r="B8" s="5" t="inlineStr">
        <is>
          <t>Working hours per day</t>
        </is>
      </c>
      <c r="C8" s="16" t="n">
        <v>4</v>
      </c>
      <c r="D8" s="13" t="inlineStr">
        <is>
          <t>Your sheet: all tiers assume 4 h/day.</t>
        </is>
      </c>
    </row>
    <row r="9">
      <c r="B9" s="5" t="inlineStr">
        <is>
          <t>Working days per month</t>
        </is>
      </c>
      <c r="C9" s="12" t="n">
        <v>20</v>
      </c>
      <c r="D9" s="13" t="inlineStr">
        <is>
          <t>Implies 80 billable hours per month.</t>
        </is>
      </c>
    </row>
    <row r="10">
      <c r="B10" s="8" t="inlineStr">
        <is>
          <t>Monthly billable hours</t>
        </is>
      </c>
      <c r="C10" s="17">
        <f>C8*C9</f>
        <v/>
      </c>
      <c r="D10" s="13" t="inlineStr">
        <is>
          <t>Formula: hours/day x days/month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8" customWidth="1" min="4" max="4"/>
    <col width="18" customWidth="1" min="5" max="5"/>
    <col width="16" customWidth="1" min="6" max="6"/>
    <col width="44" customWidth="1" min="7" max="7"/>
  </cols>
  <sheetData>
    <row r="2">
      <c r="A2" s="1" t="inlineStr">
        <is>
          <t>Rate tiers</t>
        </is>
      </c>
    </row>
    <row r="3">
      <c r="A3" s="2" t="inlineStr">
        <is>
          <t>Which tier a project gets is decided by user count. Bands must stay sorted ascending by 'From users'.</t>
        </is>
      </c>
    </row>
    <row r="5">
      <c r="B5" s="11" t="inlineStr">
        <is>
          <t>Tier</t>
        </is>
      </c>
      <c r="C5" s="11" t="inlineStr">
        <is>
          <t>$ / hour</t>
        </is>
      </c>
      <c r="D5" s="11" t="inlineStr">
        <is>
          <t>Monthly hours</t>
        </is>
      </c>
      <c r="E5" s="11" t="inlineStr">
        <is>
          <t>Monthly rate</t>
        </is>
      </c>
      <c r="F5" s="11" t="inlineStr">
        <is>
          <t>From users</t>
        </is>
      </c>
      <c r="G5" s="11" t="inlineStr">
        <is>
          <t>Note</t>
        </is>
      </c>
    </row>
    <row r="6">
      <c r="B6" s="8" t="inlineStr">
        <is>
          <t>Low</t>
        </is>
      </c>
      <c r="C6" s="15" t="n">
        <v>30</v>
      </c>
      <c r="D6" s="18">
        <f>Global!$C$10</f>
        <v/>
      </c>
      <c r="E6" s="19">
        <f>C6*D6</f>
        <v/>
      </c>
      <c r="F6" s="12" t="n">
        <v>1</v>
      </c>
      <c r="G6" s="13" t="inlineStr">
        <is>
          <t>Small internal tool, light traffic</t>
        </is>
      </c>
    </row>
    <row r="7">
      <c r="B7" s="8" t="inlineStr">
        <is>
          <t>Medium</t>
        </is>
      </c>
      <c r="C7" s="15" t="n">
        <v>55</v>
      </c>
      <c r="D7" s="18">
        <f>Global!$C$10</f>
        <v/>
      </c>
      <c r="E7" s="19">
        <f>C7*D7</f>
        <v/>
      </c>
      <c r="F7" s="12" t="n">
        <v>26</v>
      </c>
      <c r="G7" s="13" t="inlineStr">
        <is>
          <t>Most projects land here</t>
        </is>
      </c>
    </row>
    <row r="8">
      <c r="B8" s="8" t="inlineStr">
        <is>
          <t>High</t>
        </is>
      </c>
      <c r="C8" s="15" t="n">
        <v>80</v>
      </c>
      <c r="D8" s="18">
        <f>Global!$C$10</f>
        <v/>
      </c>
      <c r="E8" s="19">
        <f>C8*D8</f>
        <v/>
      </c>
      <c r="F8" s="12" t="n">
        <v>101</v>
      </c>
      <c r="G8" s="13" t="inlineStr">
        <is>
          <t>Large user base, higher complexity</t>
        </is>
      </c>
    </row>
    <row r="10">
      <c r="B10" s="13" t="inlineStr">
        <is>
          <t>Cross-check vs your sheet: Low $2,400 / Medium $4,400 / High $6,400 per month.</t>
        </is>
      </c>
      <c r="C10" s="20" t="n"/>
      <c r="D10" s="20" t="n"/>
      <c r="E10" s="20" t="n"/>
      <c r="F10" s="20" t="n"/>
      <c r="G10" s="21" t="n"/>
    </row>
  </sheetData>
  <mergeCells count="1">
    <mergeCell ref="B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52" customWidth="1" min="4" max="4"/>
  </cols>
  <sheetData>
    <row r="2">
      <c r="A2" s="1" t="inlineStr">
        <is>
          <t>Hosting cost (AWS estimate)</t>
        </is>
      </c>
    </row>
    <row r="3">
      <c r="A3" s="2" t="inlineStr">
        <is>
          <t>ESTIMATES — not sourced. Sorted ascending by 'From users'.</t>
        </is>
      </c>
    </row>
    <row r="5">
      <c r="B5" s="11" t="inlineStr">
        <is>
          <t>Band</t>
        </is>
      </c>
      <c r="C5" s="11" t="inlineStr">
        <is>
          <t>From users</t>
        </is>
      </c>
      <c r="D5" s="11" t="inlineStr">
        <is>
          <t>$ / month</t>
        </is>
      </c>
      <c r="E5" s="11" t="inlineStr">
        <is>
          <t>Note</t>
        </is>
      </c>
    </row>
    <row r="6">
      <c r="B6" s="8" t="inlineStr">
        <is>
          <t>Small</t>
        </is>
      </c>
      <c r="C6" s="12" t="n">
        <v>1</v>
      </c>
      <c r="D6" s="15" t="n">
        <v>40</v>
      </c>
      <c r="E6" s="13" t="inlineStr">
        <is>
          <t>Single small instance + managed Postgres</t>
        </is>
      </c>
    </row>
    <row r="7">
      <c r="B7" s="8" t="inlineStr">
        <is>
          <t>Medium</t>
        </is>
      </c>
      <c r="C7" s="12" t="n">
        <v>26</v>
      </c>
      <c r="D7" s="15" t="n">
        <v>150</v>
      </c>
      <c r="E7" s="13" t="inlineStr">
        <is>
          <t>Load-balanced, daily backups</t>
        </is>
      </c>
    </row>
    <row r="8">
      <c r="B8" s="8" t="inlineStr">
        <is>
          <t>Large</t>
        </is>
      </c>
      <c r="C8" s="12" t="n">
        <v>101</v>
      </c>
      <c r="D8" s="15" t="n">
        <v>400</v>
      </c>
      <c r="E8" s="13" t="inlineStr">
        <is>
          <t>Multi-AZ, higher storage and egress</t>
        </is>
      </c>
    </row>
    <row r="9">
      <c r="B9" s="8" t="inlineStr">
        <is>
          <t>X-Large</t>
        </is>
      </c>
      <c r="C9" s="12" t="n">
        <v>501</v>
      </c>
      <c r="D9" s="15" t="n">
        <v>900</v>
      </c>
      <c r="E9" s="13" t="inlineStr">
        <is>
          <t>Scaled out; revisit properly at this size</t>
        </is>
      </c>
    </row>
    <row r="11">
      <c r="B11" s="13" t="inlineStr">
        <is>
          <t>Caveat: real AWS cost tracks traffic, data and concurrency — not seat count. Seats are a proxy.</t>
        </is>
      </c>
      <c r="C11" s="20" t="n"/>
      <c r="D11" s="20" t="n"/>
      <c r="E11" s="21" t="n"/>
    </row>
  </sheetData>
  <mergeCells count="1">
    <mergeCell ref="B11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18" customWidth="1" min="4" max="4"/>
    <col width="44" customWidth="1" min="5" max="5"/>
  </cols>
  <sheetData>
    <row r="2">
      <c r="A2" s="1" t="inlineStr">
        <is>
          <t>Maintenance retainer</t>
        </is>
      </c>
    </row>
    <row r="3">
      <c r="A3" s="2" t="inlineStr">
        <is>
          <t>Monthly hours you commit per tier, priced at the consulting rate.</t>
        </is>
      </c>
    </row>
    <row r="5">
      <c r="B5" s="11" t="inlineStr">
        <is>
          <t>Tier</t>
        </is>
      </c>
      <c r="C5" s="11" t="inlineStr">
        <is>
          <t>Hours / month</t>
        </is>
      </c>
      <c r="D5" s="11" t="inlineStr">
        <is>
          <t>$ / month</t>
        </is>
      </c>
      <c r="E5" s="11" t="inlineStr">
        <is>
          <t>Note</t>
        </is>
      </c>
    </row>
    <row r="6">
      <c r="B6" s="8" t="inlineStr">
        <is>
          <t>Low</t>
        </is>
      </c>
      <c r="C6" s="16" t="n">
        <v>8</v>
      </c>
      <c r="D6" s="19">
        <f>C6*Global!$C$7</f>
        <v/>
      </c>
      <c r="E6" s="13" t="inlineStr">
        <is>
          <t>Patches, backups, small fixes</t>
        </is>
      </c>
    </row>
    <row r="7">
      <c r="B7" s="8" t="inlineStr">
        <is>
          <t>Medium</t>
        </is>
      </c>
      <c r="C7" s="16" t="n">
        <v>16</v>
      </c>
      <c r="D7" s="19">
        <f>C7*Global!$C$7</f>
        <v/>
      </c>
      <c r="E7" s="13" t="inlineStr">
        <is>
          <t>Above plus minor enhancements</t>
        </is>
      </c>
    </row>
    <row r="8">
      <c r="B8" s="8" t="inlineStr">
        <is>
          <t>High</t>
        </is>
      </c>
      <c r="C8" s="16" t="n">
        <v>24</v>
      </c>
      <c r="D8" s="19">
        <f>C8*Global!$C$7</f>
        <v/>
      </c>
      <c r="E8" s="13" t="inlineStr">
        <is>
          <t>Above plus monitoring and on-call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8" customWidth="1" min="4" max="4"/>
    <col width="14" customWidth="1" min="5" max="5"/>
    <col width="40" customWidth="1" min="6" max="6"/>
  </cols>
  <sheetData>
    <row r="2">
      <c r="A2" s="1" t="inlineStr">
        <is>
          <t>App catalog</t>
        </is>
      </c>
    </row>
    <row r="3">
      <c r="A3" s="2" t="inlineStr">
        <is>
          <t>What the visitor can tick. Set Selected = 1 to include it in the worked examples below.</t>
        </is>
      </c>
    </row>
    <row r="5">
      <c r="B5" s="11" t="inlineStr">
        <is>
          <t>App</t>
        </is>
      </c>
      <c r="C5" s="11" t="inlineStr">
        <is>
          <t>Type</t>
        </is>
      </c>
      <c r="D5" s="11" t="inlineStr">
        <is>
          <t>Complexity weight</t>
        </is>
      </c>
      <c r="E5" s="11" t="inlineStr">
        <is>
          <t>Selected</t>
        </is>
      </c>
      <c r="F5" s="11" t="inlineStr">
        <is>
          <t>Note</t>
        </is>
      </c>
    </row>
    <row r="6">
      <c r="B6" s="5" t="inlineStr">
        <is>
          <t>Workflow Management Tool</t>
        </is>
      </c>
      <c r="C6" s="8" t="inlineStr">
        <is>
          <t>Internal</t>
        </is>
      </c>
      <c r="D6" s="22" t="n">
        <v>1</v>
      </c>
      <c r="E6" s="12" t="n">
        <v>1</v>
      </c>
      <c r="F6" s="13" t="inlineStr"/>
    </row>
    <row r="7">
      <c r="B7" s="5" t="inlineStr">
        <is>
          <t>Internal Chat</t>
        </is>
      </c>
      <c r="C7" s="8" t="inlineStr">
        <is>
          <t>Internal</t>
        </is>
      </c>
      <c r="D7" s="22" t="n">
        <v>1</v>
      </c>
      <c r="E7" s="12" t="n">
        <v>0</v>
      </c>
      <c r="F7" s="13" t="inlineStr">
        <is>
          <t>Lower weight if you lean on off-the-shelf</t>
        </is>
      </c>
    </row>
    <row r="8">
      <c r="B8" s="5" t="inlineStr">
        <is>
          <t>HRIS</t>
        </is>
      </c>
      <c r="C8" s="8" t="inlineStr">
        <is>
          <t>Internal</t>
        </is>
      </c>
      <c r="D8" s="22" t="n">
        <v>1</v>
      </c>
      <c r="E8" s="12" t="n">
        <v>1</v>
      </c>
      <c r="F8" s="13" t="inlineStr">
        <is>
          <t>Raise weight — compliance and payroll data</t>
        </is>
      </c>
    </row>
    <row r="9">
      <c r="B9" s="5" t="inlineStr">
        <is>
          <t>Payroll Management</t>
        </is>
      </c>
      <c r="C9" s="8" t="inlineStr">
        <is>
          <t>Internal</t>
        </is>
      </c>
      <c r="D9" s="22" t="n">
        <v>1</v>
      </c>
      <c r="E9" s="12" t="n">
        <v>0</v>
      </c>
      <c r="F9" s="13" t="inlineStr">
        <is>
          <t>Raise weight — tax rules, audit trail</t>
        </is>
      </c>
    </row>
    <row r="10">
      <c r="B10" s="5" t="inlineStr">
        <is>
          <t>Web Application</t>
        </is>
      </c>
      <c r="C10" s="8" t="inlineStr">
        <is>
          <t>External</t>
        </is>
      </c>
      <c r="D10" s="22" t="n">
        <v>1</v>
      </c>
      <c r="E10" s="12" t="n">
        <v>0</v>
      </c>
      <c r="F10" s="13" t="inlineStr">
        <is>
          <t>Tick this and the ROI framing switches off — by design</t>
        </is>
      </c>
    </row>
    <row r="11">
      <c r="B11" s="5" t="inlineStr">
        <is>
          <t>Mobile Application</t>
        </is>
      </c>
      <c r="C11" s="8" t="inlineStr">
        <is>
          <t>External</t>
        </is>
      </c>
      <c r="D11" s="22" t="n">
        <v>1</v>
      </c>
      <c r="E11" s="12" t="n">
        <v>0</v>
      </c>
      <c r="F11" s="13" t="inlineStr">
        <is>
          <t>Raise weight if iOS + Android both</t>
        </is>
      </c>
    </row>
    <row r="12">
      <c r="B12" s="5" t="inlineStr">
        <is>
          <t>Desktop Application</t>
        </is>
      </c>
      <c r="C12" s="8" t="inlineStr">
        <is>
          <t>External</t>
        </is>
      </c>
      <c r="D12" s="22" t="n">
        <v>1</v>
      </c>
      <c r="E12" s="12" t="n">
        <v>0</v>
      </c>
      <c r="F12" s="13" t="inlineStr"/>
    </row>
    <row r="14">
      <c r="B14" s="13" t="inlineStr">
        <is>
          <t>Weight 1.00 = neutral, so the model reduces to your rule: 2 months for 1-2 apps, +1 month each after.</t>
        </is>
      </c>
      <c r="C14" s="20" t="n"/>
      <c r="D14" s="20" t="n"/>
      <c r="E14" s="20" t="n"/>
      <c r="F14" s="21" t="n"/>
    </row>
    <row r="16">
      <c r="B16" s="11" t="inlineStr">
        <is>
          <t>Timeline rule</t>
        </is>
      </c>
      <c r="C16" s="11" t="inlineStr">
        <is>
          <t>Value</t>
        </is>
      </c>
      <c r="D16" s="11" t="inlineStr">
        <is>
          <t>Note</t>
        </is>
      </c>
    </row>
    <row r="17">
      <c r="B17" s="5" t="inlineStr">
        <is>
          <t>Base months</t>
        </is>
      </c>
      <c r="C17" s="16" t="n">
        <v>2</v>
      </c>
      <c r="D17" s="13" t="inlineStr">
        <is>
          <t>Covers the first N apps</t>
        </is>
      </c>
    </row>
    <row r="18">
      <c r="B18" s="5" t="inlineStr">
        <is>
          <t>Apps included in base</t>
        </is>
      </c>
      <c r="C18" s="16" t="n">
        <v>2</v>
      </c>
      <c r="D18" s="13" t="inlineStr">
        <is>
          <t>Your rule: 1-2 apps = base</t>
        </is>
      </c>
    </row>
    <row r="19">
      <c r="B19" s="5" t="inlineStr">
        <is>
          <t>Months per additional app</t>
        </is>
      </c>
      <c r="C19" s="16" t="n">
        <v>1</v>
      </c>
      <c r="D19" s="13" t="inlineStr">
        <is>
          <t>Each weighted app beyond the base</t>
        </is>
      </c>
    </row>
  </sheetData>
  <mergeCells count="1">
    <mergeCell ref="B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4" customWidth="1" min="4" max="4"/>
    <col width="50" customWidth="1" min="5" max="5"/>
  </cols>
  <sheetData>
    <row r="2">
      <c r="A2" s="1" t="inlineStr">
        <is>
          <t>The model — one combined project</t>
        </is>
      </c>
    </row>
    <row r="3">
      <c r="A3" s="2" t="inlineStr">
        <is>
          <t>Tick apps in Catalog. Internal and external picks become a single engagement, as agreed.</t>
        </is>
      </c>
    </row>
    <row r="5">
      <c r="B5" s="11" t="inlineStr">
        <is>
          <t>Input</t>
        </is>
      </c>
      <c r="C5" s="11" t="inlineStr">
        <is>
          <t>Value</t>
        </is>
      </c>
      <c r="D5" s="11" t="inlineStr"/>
      <c r="E5" s="11" t="inlineStr">
        <is>
          <t>Note</t>
        </is>
      </c>
    </row>
    <row r="6">
      <c r="B6" s="5" t="inlineStr">
        <is>
          <t>Employees (internal users)</t>
        </is>
      </c>
      <c r="C6" s="12" t="n">
        <v>40</v>
      </c>
      <c r="D6" s="5" t="inlineStr"/>
      <c r="E6" s="13" t="inlineStr">
        <is>
          <t>Drives tier and hosting if larger than external users</t>
        </is>
      </c>
    </row>
    <row r="7">
      <c r="B7" s="5" t="inlineStr">
        <is>
          <t>Expected external users</t>
        </is>
      </c>
      <c r="C7" s="12" t="n">
        <v>5000</v>
      </c>
      <c r="D7" s="5" t="inlineStr"/>
      <c r="E7" s="13" t="inlineStr">
        <is>
          <t>Only asked when an external product is ticked (progressive disclosure)</t>
        </is>
      </c>
    </row>
    <row r="8">
      <c r="B8" s="5" t="inlineStr">
        <is>
          <t>Already paying for software?</t>
        </is>
      </c>
      <c r="C8" s="12" t="n">
        <v>1</v>
      </c>
      <c r="D8" s="5" t="inlineStr"/>
      <c r="E8" s="13" t="inlineStr">
        <is>
          <t>1 = yes, 0 = no. Gates payback and ROI entirely.</t>
        </is>
      </c>
    </row>
    <row r="9">
      <c r="B9" s="5" t="inlineStr">
        <is>
          <t>Current SaaS spend ($/month)</t>
        </is>
      </c>
      <c r="C9" s="15" t="n">
        <v>1800</v>
      </c>
      <c r="D9" s="5" t="inlineStr"/>
      <c r="E9" s="13" t="inlineStr">
        <is>
          <t>Ignored when the answer above is 0</t>
        </is>
      </c>
    </row>
    <row r="11">
      <c r="B11" s="11" t="inlineStr">
        <is>
          <t>Derived</t>
        </is>
      </c>
      <c r="C11" s="11" t="inlineStr">
        <is>
          <t>Value</t>
        </is>
      </c>
      <c r="D11" s="11" t="inlineStr"/>
      <c r="E11" s="11" t="inlineStr">
        <is>
          <t>Formula in words</t>
        </is>
      </c>
    </row>
    <row r="12">
      <c r="B12" s="5" t="inlineStr">
        <is>
          <t>Internal apps (weighted)</t>
        </is>
      </c>
      <c r="C12" s="23">
        <f>SUMIFS(Catalog!$D$6:$D$12,Catalog!$C$6:$C$12,"Internal",Catalog!$E$6:$E$12,1)</f>
        <v/>
      </c>
      <c r="E12" s="13" t="inlineStr">
        <is>
          <t>Ticked internal apps in Catalog</t>
        </is>
      </c>
    </row>
    <row r="13">
      <c r="B13" s="5" t="inlineStr">
        <is>
          <t>External apps (weighted)</t>
        </is>
      </c>
      <c r="C13" s="23">
        <f>SUMIFS(Catalog!$D$6:$D$12,Catalog!$C$6:$C$12,"External",Catalog!$E$6:$E$12,1)</f>
        <v/>
      </c>
      <c r="E13" s="13" t="inlineStr">
        <is>
          <t>Ticked external platforms in Catalog</t>
        </is>
      </c>
    </row>
    <row r="14">
      <c r="B14" s="5" t="inlineStr">
        <is>
          <t>Total apps (weighted)</t>
        </is>
      </c>
      <c r="C14" s="24">
        <f>$C$12+$C$13</f>
        <v/>
      </c>
      <c r="E14" s="13" t="inlineStr">
        <is>
          <t>ONE project, so internal and external add up</t>
        </is>
      </c>
    </row>
    <row r="15">
      <c r="B15" s="5" t="inlineStr">
        <is>
          <t>Scale driver (users)</t>
        </is>
      </c>
      <c r="C15" s="25">
        <f>MAX($C$6,IF($C$13&gt;0,$C$7,0))</f>
        <v/>
      </c>
      <c r="E15" s="13" t="inlineStr">
        <is>
          <t>Larger audience the system must carry. External users ignored unless an external app is ticked.</t>
        </is>
      </c>
    </row>
    <row r="16">
      <c r="B16" s="5" t="inlineStr">
        <is>
          <t>Tier</t>
        </is>
      </c>
      <c r="C16" s="8">
        <f>INDEX(RateTiers!$B$6:$B$8,MATCH($C$15,RateTiers!$F$6:$F$8,1))</f>
        <v/>
      </c>
      <c r="E16" s="13" t="inlineStr">
        <is>
          <t>Band lookup on the scale driver</t>
        </is>
      </c>
    </row>
    <row r="17">
      <c r="B17" s="5" t="inlineStr">
        <is>
          <t>Tier monthly rate</t>
        </is>
      </c>
      <c r="C17" s="26">
        <f>INDEX(RateTiers!$E$6:$E$8,MATCH($C$16,RateTiers!$B$6:$B$8,0))</f>
        <v/>
      </c>
      <c r="E17" s="13" t="inlineStr">
        <is>
          <t>Your Low / Medium / High monthly rate</t>
        </is>
      </c>
    </row>
    <row r="18">
      <c r="B18" s="5" t="inlineStr">
        <is>
          <t>Build time (months)</t>
        </is>
      </c>
      <c r="C18" s="27">
        <f>IF($C$14=0,0,Catalog!$C$17+MAX(0,$C$14-Catalog!$C$18)*Catalog!$C$19)</f>
        <v/>
      </c>
      <c r="E18" s="13" t="inlineStr">
        <is>
          <t>Base + one month per weighted app beyond the base</t>
        </is>
      </c>
    </row>
    <row r="19">
      <c r="B19" s="5" t="inlineStr">
        <is>
          <t>Hosting ($/month)</t>
        </is>
      </c>
      <c r="C19" s="26">
        <f>INDEX(Hosting!$D$6:$D$9,MATCH($C$15,Hosting!$C$6:$C$9,1))</f>
        <v/>
      </c>
      <c r="E19" s="13" t="inlineStr">
        <is>
          <t>Band lookup on the scale driver</t>
        </is>
      </c>
    </row>
    <row r="20">
      <c r="B20" s="5" t="inlineStr">
        <is>
          <t>Maintenance ($/month)</t>
        </is>
      </c>
      <c r="C20" s="26">
        <f>INDEX(Maintenance!$D$6:$D$8,MATCH($C$16,Maintenance!$B$6:$B$8,0))</f>
        <v/>
      </c>
      <c r="E20" s="13" t="inlineStr">
        <is>
          <t>Retainer hours x consulting rate</t>
        </is>
      </c>
    </row>
    <row r="22">
      <c r="B22" s="11" t="inlineStr">
        <is>
          <t>Output</t>
        </is>
      </c>
      <c r="C22" s="11" t="inlineStr">
        <is>
          <t>Value</t>
        </is>
      </c>
      <c r="D22" s="11" t="inlineStr">
        <is>
          <t>Shown?</t>
        </is>
      </c>
      <c r="E22" s="11" t="inlineStr">
        <is>
          <t>Note</t>
        </is>
      </c>
    </row>
    <row r="23">
      <c r="B23" s="8" t="inlineStr">
        <is>
          <t>Build cost (one-off)</t>
        </is>
      </c>
      <c r="C23" s="19">
        <f>$C$17*$C$18</f>
        <v/>
      </c>
      <c r="D23" s="28" t="inlineStr">
        <is>
          <t>INTERNAL</t>
        </is>
      </c>
      <c r="E23" s="13" t="inlineStr">
        <is>
          <t>Never rendered publicly — PRD 1 §6. For your quoting only.</t>
        </is>
      </c>
    </row>
    <row r="24">
      <c r="B24" s="8" t="inlineStr">
        <is>
          <t>Agency equivalent</t>
        </is>
      </c>
      <c r="C24" s="19">
        <f>Global!$C$6*$C$18</f>
        <v/>
      </c>
      <c r="D24" s="28" t="inlineStr">
        <is>
          <t>INTERNAL</t>
        </is>
      </c>
      <c r="E24" s="13" t="inlineStr">
        <is>
          <t>Basis for the public percentage below</t>
        </is>
      </c>
    </row>
    <row r="25">
      <c r="B25" s="8" t="inlineStr">
        <is>
          <t>You would pay (% of agency)</t>
        </is>
      </c>
      <c r="C25" s="29">
        <f>IF($C$24&lt;=0,"n/a",$C$23/$C$24)</f>
        <v/>
      </c>
      <c r="D25" s="30" t="inlineStr">
        <is>
          <t>PUBLIC</t>
        </is>
      </c>
      <c r="E25" s="13" t="inlineStr">
        <is>
          <t>THE HEADLINE. Works on every path. Near 55% at High tier.</t>
        </is>
      </c>
    </row>
    <row r="26">
      <c r="B26" s="8" t="inlineStr">
        <is>
          <t>Build time (months)</t>
        </is>
      </c>
      <c r="C26" s="31">
        <f>$C$18</f>
        <v/>
      </c>
      <c r="D26" s="30" t="inlineStr">
        <is>
          <t>PUBLIC</t>
        </is>
      </c>
      <c r="E26" s="13" t="inlineStr">
        <is>
          <t>Always safe to show</t>
        </is>
      </c>
    </row>
    <row r="27">
      <c r="B27" s="8" t="inlineStr">
        <is>
          <t>New monthly cost</t>
        </is>
      </c>
      <c r="C27" s="32">
        <f>$C$19+$C$20</f>
        <v/>
      </c>
      <c r="D27" s="30" t="inlineStr">
        <is>
          <t>PUBLIC</t>
        </is>
      </c>
      <c r="E27" s="13" t="inlineStr">
        <is>
          <t>Hosting + maintenance</t>
        </is>
      </c>
    </row>
    <row r="28">
      <c r="B28" s="8" t="inlineStr">
        <is>
          <t>Monthly saving</t>
        </is>
      </c>
      <c r="C28" s="32">
        <f>IF(AND($C$12&gt;0,$C$13=0,$C$8=1),$C$9-$C$27,"n/a")</f>
        <v/>
      </c>
      <c r="D28" s="30" t="inlineStr">
        <is>
          <t>PUBLIC*</t>
        </is>
      </c>
      <c r="E28" s="13" t="inlineStr">
        <is>
          <t>Internal-only projects. Any external pick switches this off.</t>
        </is>
      </c>
    </row>
    <row r="29">
      <c r="B29" s="8" t="inlineStr">
        <is>
          <t>Payback (months)</t>
        </is>
      </c>
      <c r="C29" s="31">
        <f>IF(OR($C$12=0,$C$13&gt;0,$C$8&lt;&gt;1),"n/a",IF($C$28&lt;=0,"No payback",IF($C$23/$C$28&gt;Global!$C$5,"Beyond horizon",$C$23/$C$28)))</f>
        <v/>
      </c>
      <c r="D29" s="30" t="inlineStr">
        <is>
          <t>PUBLIC*</t>
        </is>
      </c>
      <c r="E29" s="13" t="inlineStr">
        <is>
          <t>GUARDS: no payback, beyond horizon, or n/a — never a silly number</t>
        </is>
      </c>
    </row>
    <row r="30">
      <c r="B30" s="8" t="inlineStr">
        <is>
          <t>Net benefit over horizon</t>
        </is>
      </c>
      <c r="C30" s="32">
        <f>IF(OR($C$12=0,$C$13&gt;0,$C$8&lt;&gt;1),"n/a",$C$28*Global!$C$5-$C$23)</f>
        <v/>
      </c>
      <c r="D30" s="30" t="inlineStr">
        <is>
          <t>PUBLIC*</t>
        </is>
      </c>
      <c r="E30" s="13" t="inlineStr">
        <is>
          <t>Savings across the horizon, less the build</t>
        </is>
      </c>
    </row>
    <row r="31">
      <c r="B31" s="8" t="inlineStr">
        <is>
          <t>ROI over horizon (%)</t>
        </is>
      </c>
      <c r="C31" s="29">
        <f>IF(OR($C$12=0,$C$13&gt;0,$C$8&lt;&gt;1,$C$23&lt;=0),"n/a",$C$30/$C$23)</f>
        <v/>
      </c>
      <c r="D31" s="30" t="inlineStr">
        <is>
          <t>PUBLIC*</t>
        </is>
      </c>
      <c r="E31" s="13" t="inlineStr">
        <is>
          <t>ALWAYS print the horizon beside it — 346% at 36mo is 49% at 12mo.</t>
        </is>
      </c>
    </row>
    <row r="33">
      <c r="B33" s="33" t="inlineStr">
        <is>
          <t>PUBLIC* = internal-only projects that replace existing SaaS. If ANY external product is ticked, the UI drops the ROI framing and shows '% of agency' + build time instead — external scale would otherwise inflate running cost and wreck the payback maths.</t>
        </is>
      </c>
      <c r="C33" s="20" t="n"/>
      <c r="D33" s="20" t="n"/>
      <c r="E33" s="21" t="n"/>
    </row>
  </sheetData>
  <mergeCells count="1">
    <mergeCell ref="B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2026-08-15T05:21:06Z</dcterms:created>
  <dcterms:modified xsi:type="dcterms:W3CDTF">2026-08-15T05:21:06Z</dcterms:modified>
</cp:coreProperties>
</file>